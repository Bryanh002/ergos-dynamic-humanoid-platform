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Bryan Heddle\OneDrive\Desktop\AI-Robot\Documentation\"/>
    </mc:Choice>
  </mc:AlternateContent>
  <xr:revisionPtr revIDLastSave="0" documentId="8_{EA912B0E-4681-43C1-BD75-5D156F6FB52A}" xr6:coauthVersionLast="47" xr6:coauthVersionMax="47" xr10:uidLastSave="{00000000-0000-0000-0000-000000000000}"/>
  <bookViews>
    <workbookView xWindow="-28920" yWindow="-120" windowWidth="29040" windowHeight="15840" xr2:uid="{02CBD0F1-74CF-4889-91DA-ED3C1ACE063A}"/>
  </bookViews>
  <sheets>
    <sheet name="Robot_BOM"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2" l="1"/>
  <c r="G2" i="2"/>
  <c r="F18" i="2"/>
  <c r="F25" i="2"/>
  <c r="F24" i="2"/>
  <c r="F23" i="2"/>
  <c r="F17" i="2"/>
  <c r="F13" i="2"/>
  <c r="F12" i="2"/>
  <c r="F10" i="2"/>
  <c r="F9" i="2"/>
  <c r="F8" i="2"/>
  <c r="F7" i="2"/>
  <c r="F6" i="2"/>
  <c r="F5" i="2"/>
  <c r="F4" i="2"/>
  <c r="F3" i="2"/>
  <c r="F11" i="2"/>
  <c r="F16" i="2"/>
  <c r="F20" i="2"/>
</calcChain>
</file>

<file path=xl/sharedStrings.xml><?xml version="1.0" encoding="utf-8"?>
<sst xmlns="http://schemas.openxmlformats.org/spreadsheetml/2006/main" count="61" uniqueCount="61">
  <si>
    <t>Part</t>
  </si>
  <si>
    <t>Description</t>
  </si>
  <si>
    <t>Quantity</t>
  </si>
  <si>
    <t>Cost</t>
  </si>
  <si>
    <t>Total Cost + Tax</t>
  </si>
  <si>
    <t>Final Cost</t>
  </si>
  <si>
    <t>Jetson Orin Nano</t>
  </si>
  <si>
    <t>Gemini 335</t>
  </si>
  <si>
    <t>PLA</t>
  </si>
  <si>
    <t>3s lipo 8400mah 11.1v 120c</t>
  </si>
  <si>
    <t>https://www.amazon.ca/DXF-Battery-Hardcase-Airplane-Helicopter/dp/B09TDFVWHS/ref=sr_1_1?dib=eyJ2IjoiMSJ9.riuler2SJ2K370oVwQohtNzuSRoCNMr3AgKZDJKD89us8ngrWmuQdQl3ogluOg-ASMoJJ5PtQqXOHwWlzm9_BE894ZhAyBr1AwkwDSZmq8nsztUxRCW0BnSoIvykL-n9mWcwi0aQil2N_n5nMjHOHitjtOPNVAtV5IuiqRomjIccON42_1kX-URmIfOZaNwR8EbgpVzZsoStStY6ZJFoaAjrDcNI1TfKhpov36r8A6D5UW7KrFyGNrIV8tdYtGV00BkjCZVLSAL0vL5SR4PBucaMePTvVA3bQu5wYEkgSmw.j3O6RipRm9qIgwoU96EFSCHXXnMJBjUAicPNW96VEQA&amp;dib_tag=se&amp;keywords=3S+8400+mah&amp;qid=1756610025&amp;sr=8-1</t>
  </si>
  <si>
    <t>MECHANICAL</t>
  </si>
  <si>
    <t>STS3250 50kg-cm TTL Dual-shaft</t>
  </si>
  <si>
    <t>STS3235 30kg-cm TTL Dual-shaft</t>
  </si>
  <si>
    <t>https://www.feetechrc.com/en/562636.html</t>
  </si>
  <si>
    <t>https://www.feetechrc.com/en/12v-30kg-metal-shell-metal-tooth-iron-core-motor-magnetic-coding-double-shaft-ttl-series-steering-gear.html</t>
  </si>
  <si>
    <t>8mm Round Servo Shaft</t>
  </si>
  <si>
    <t>https://www.gobilda.com/8mm-round-servo-shaft-25-tooth-spline-36mm-length/?srsltid=AfmBOoppTsDPK5TAdGEWVtdA1bXoH8x3ckvVXmJyh6e4P2LmL53MeBU7&amp;utm_source=chatgpt.com</t>
  </si>
  <si>
    <t>HTD 3M 20T Timing pulley</t>
  </si>
  <si>
    <t>https://www.amazon.ca/Timing-Pulley-Teeth-Synchronous-20Teeth/dp/B0F4HWRB9Y?th=1</t>
  </si>
  <si>
    <t>HTD 3M 32T Timing Pulley</t>
  </si>
  <si>
    <t>https://www.amazon.ca/Timing-Pulley-Synchronous-Belts%EF%BC%8C-32Teeth/dp/B09J4DCGLL?th=1</t>
  </si>
  <si>
    <t>8mm ID Washers</t>
  </si>
  <si>
    <t>https://www.amazon.ca/uxcell-Stainless-8x14x0-3mm-Electronic-Automotive/dp/B0C3TT4GNQ/ref=sxin_16_pa_sp_search_thematic_sspa?content-id=amzn1.sym.a0ad33d0-ba28-48c7-9aa0-231fb1fad82a%3Aamzn1.sym.a0ad33d0-ba28-48c7-9aa0-231fb1fad82a&amp;crid=2I4VN2FNF6P9D&amp;cv_ct_cx=thin%2B8mm%2Bspacer&amp;keywords=thin%2B8mm%2Bspacer&amp;pd_rd_i=B0C3TT4GNQ&amp;pd_rd_r=83dcb220-fad1-4e6e-9a31-cba8260b4eb6&amp;pd_rd_w=KpYnT&amp;pd_rd_wg=6m16O&amp;pf_rd_p=a0ad33d0-ba28-48c7-9aa0-231fb1fad82a&amp;pf_rd_r=NAX6F4KAHHYHEAX84T2Y&amp;qid=1757789944&amp;sbo=RZvfv%2F%2FHxDF%2BO5021pAnSA%3D%3D&amp;sprefix=thin%2B8mm%2Bspacer%2Caps%2C107&amp;sr=1-5-30a71431-0640-4d25-b8df-74e773a218a5-spons&amp;sp_csd=d2lkZ2V0TmFtZT1zcF9zZWFyY2hfdGhlbWF0aWM&amp;th=1</t>
  </si>
  <si>
    <t>MR128ZZ Bearings</t>
  </si>
  <si>
    <t>https://www.amazon.ca/uxcell-Bearings-8x12x3-5mm-Miniature-Precision/dp/B0CM6N2SRX/ref=sr_1_1_sspa?dib=eyJ2IjoiMSJ9.ONfxX4N7YaB0nVC5ooFVR9CCxoUVbn3Br9jtOb0-Fo-zE4gYb88mbb66dYdjR6gEh627goLwYuHMomYA8kvUzXY5DLMQVPKuphA9umCSnN3MVsYfZ0Slrq8DpGwK5CRvT642U1hslR5yB0lF6-7GzffSewLB3gidbmBOtkR1I4Ivj7Z_WzG7EQqdRQJ02oESFyH8raAOuMqorI80Kgayp6weuZ9eShOwDAKoS15ux2j5g-CLD59jPmMMhaawTZks89mpoJ57szjD-dOtKGzWbOD8rqQywYYn53n3Uu-fQ6M.9KLB09EZX1ib8fGp-LBSh-REjrEpmcf8nIA4aD85yos&amp;dib_tag=se&amp;keywords=MR128&amp;qid=1757789974&amp;sr=8-1-spons&amp;sp_csd=d2lkZ2V0TmFtZT1zcF9hdGY&amp;th=1</t>
  </si>
  <si>
    <t>MR95ZZ Bearings</t>
  </si>
  <si>
    <t>https://www.amazon.ca/uxcell-Bearings-8x12x3-5mm-Miniature-Precision/dp/B0CM6G9ZKZ/ref=sr_1_1_sspa?dib=eyJ2IjoiMSJ9.ONfxX4N7YaB0nVC5ooFVR9CCxoUVbn3Br9jtOb0-Fo-zE4gYb88mbb66dYdjR6gEh627goLwYuHMomYA8kvUzXY5DLMQVPKuphA9umCSnN3MVsYfZ0Slrq8DpGwK5CRvT642U1hslR5yB0lF6-7GzffSewLB3gidbmBOtkR1I4Ivj7Z_WzG7EQqdRQJ02oESFyH8raAOuMqorI80Kgayp6weuZ9eShOwDAKoS15ux2j5g-CLD59jPmMMhaawTZks89mpoJ57szjD-dOtKGzWbOD8rqQywYYn53n3Uu-fQ6M.9KLB09EZX1ib8fGp-LBSh-REjrEpmcf8nIA4aD85yos&amp;dib_tag=se&amp;keywords=MR128&amp;qid=1757789974&amp;sr=8-1-spons&amp;sp_csd=d2lkZ2V0TmFtZT1zcF9hdGY&amp;th=1</t>
  </si>
  <si>
    <t>https://www.amazon.ca/Washer-Stainless-Steel-Thickness-Finish/dp/B07WZ5WQCG/ref=sr_1_10?crid=320K0U2K9QBJT&amp;dib=eyJ2IjoiMSJ9.bU4WlhE01AOwri_ZiS-jaT3dgrPXs_mB6DBURF6A_iXxHzcvqoDcLQi9Yo4pApIToxzPWJEICIk6kfGcPPw5o2ChnMWoIQ4tMY4ZjIKkt4Lmg-vSwSAAxdh5hPv71Pnt20osVIyV8ATOBfxV5-QbIqpO3LvGZZ5eg7c_Goz0zkv-BnaugJhgxOrfqDl9txpuqVW-MD6GOQsfIIX7DL6BYa9BPiH2iUuowKyYwXHyQwd_gRB2PAUffi27DmjUU1UIKkUuAs-D_9yoEWNk7gzVQB7HvEo4Wzn_NqQep9eqLAA.JMeExjSa2y9wntmVUC982gLpv5xwGaR47xbU7DAM7Lw&amp;dib_tag=se&amp;keywords=washer%2B5mm%2Bid&amp;qid=1757896497&amp;sprefix=washer%2B5mm%2Bid%2Caps%2C121&amp;sr=8-10&amp;th=1</t>
  </si>
  <si>
    <t>5mm ID Washers</t>
  </si>
  <si>
    <t>ELECTRICAL</t>
  </si>
  <si>
    <t>SOFTWARE</t>
  </si>
  <si>
    <t>KingSpec SSD 256GB</t>
  </si>
  <si>
    <t>amazon.ca/KingSpec-256GB-NVMe-Gen3x4-2280/dp/B0D1R7HDJF/ref=sr_1_4_sspa?dib=eyJ2IjoiMSJ9.drCI5nIcaeNPjaX0FtDF8yDeVSCMk-LPA48gHaRXe-cwVGWjCxJL65svHmyg2GuNviJJjFMHFxqtPFsTPqbO8bDCQYAhLulUPzHajsa3qesuBG-68gf9MmxxEQI9xvIyFkV3aeJVHZMG5ffkCe9Tqw8MiElN7i4kqwH-8EZQrt2HO-BxyOtqeZatRlNgWBmbXY8k62EmUHwDqehHjMhGfUWCrvhPX4iFZzs07Gf1AJohVQDiR77IHLYDGFK7Irg7midqELnI0DR43ZaOOK73QskIxV0fFIiUJCUgiiwTcD0.XDUgV00pV5rFfMhkjRa5oZUwf0awBMF0YZ8svnmxo-8&amp;dib_tag=se&amp;keywords=nvme+m4+128gb&amp;qid=1757962271&amp;sr=8-4-spons&amp;sp_csd=d2lkZ2V0TmFtZT1zcF9hdGY&amp;psc=1</t>
  </si>
  <si>
    <t>Loctite 638</t>
  </si>
  <si>
    <t>https://www.amazon.ca/Loctite-21448-Strength-Retaining-Compound/dp/B000O01EV0</t>
  </si>
  <si>
    <t>Product Link</t>
  </si>
  <si>
    <t xml:space="preserve">PCB </t>
  </si>
  <si>
    <t>https://www.amazon.ca/NVIDIA-Jetson-Orin-Nano-Developer/dp/B0BZJTQ5YP/ref=sr_1_5?dib=eyJ2IjoiMSJ9.oBPmo8N1125w9UZ8-xtxgBB0vzdg_OFiDKOJUmUak3KsGol2xTi80fCYUWqHlOGe2kAe8ESSo6BWqINztXDYxQeYiaTolbh4JB0c7Y3jwzqBn2JFR0HiK1FyJ5kyFpPhXSp1aJv5xMC--j8b-fNhdLSSJwvjbd0XY8EXhorkOxJFMnOfcD0O0oLoypf_Fx_o_Mmr-y09hK1oqRhDgOKDMI8MH5wdi7HBtWLImeM1blm4-70toRIjqXFsuk1DjbODSwJutIPBQJ3qrJjQuqE5pt5imxUwUY1I2YieMJwjEhU.iMrYs9zK_mCJTvqh5PRE7PjCeBtP2gORpf3H3tjRj9Q&amp;dib_tag=se&amp;keywords=jetson+orin+nano+dev+kit&amp;qid=1759703130&amp;sr=8-5</t>
  </si>
  <si>
    <t>https://store.orbbec.com/products/gemini-335?fx_sid=4e26c903-bc0e-4df4-8e1a-c9ecd9c30cc1&amp;fx_uid=8c0f2309-1f7c-441d-af87-0edf41cb8467&amp;fx_s=google&amp;fx_m=organic&amp;fx_ch=seo_organic&amp;fx_sc=google_organic</t>
  </si>
  <si>
    <t>High-torque smart servo used for the hip, knee, and shoulder joints to handle the primary load-bearing and dynamic movement required for humanoid locomotion.</t>
  </si>
  <si>
    <t>Medium-torque smart servo used for arm and neck joints where lower torque is sufficient but precise control is still required for coordinated movement.</t>
  </si>
  <si>
    <t>Custom shafts used to transfer motion between servo outputs and pulley assemblies, enabling reliable and backlash-free mechanical transmission.</t>
  </si>
  <si>
    <t>Serves as the driving pulley in the belt transmission system, translating servo rotation.</t>
  </si>
  <si>
    <t>Acts as the driven pulley in the gear reduction setup, increasing torque at each joint.</t>
  </si>
  <si>
    <t>Used to reduce axial friction and prevent rubbing between rotating parts and stationary brackets.</t>
  </si>
  <si>
    <t>Precision bearings supporting rotating shafts at each joint to minimize friction and improve motion stability.</t>
  </si>
  <si>
    <t>Smaller bearings used in compact joint housings where load and speed requirements are moderate.</t>
  </si>
  <si>
    <t>Provide spacing and distribute load in smaller shaft assemblies, preventing wear on rotating components.</t>
  </si>
  <si>
    <t>High-strength retaining compound for securing shafts, pulleys, and bearings, preventing slippage under dynamic loads.</t>
  </si>
  <si>
    <t>Primary power source for servos, Jetson Orin Nano, and sensors; provides sufficient current delivery for high-demand movements.</t>
  </si>
  <si>
    <t>Central power and communication hub distributing regulated voltage and serial signals between servos, Jetson, and sensors.</t>
  </si>
  <si>
    <t>Main onboard computer handling perception, reinforcement learning, and motion planning in real time.</t>
  </si>
  <si>
    <t>Provides depth and RGB vision for environmental awareness, obstacle detection, and balance correction.</t>
  </si>
  <si>
    <t>High-speed storage for AI models, video frames, and system data during real-time inference and logging.</t>
  </si>
  <si>
    <t>PCB components</t>
  </si>
  <si>
    <t>all components required for PCB</t>
  </si>
  <si>
    <t>https://www.amazon.ca/ELEGOO-Filament-Dimensional-Accuracy-Cardboard/dp/B0C8J1JZMT/ref=sr_1_4?crid=2OVSICG040W0U&amp;dib=eyJ2IjoiMSJ9.X5f0H5HytsVRWJLqLwwin6DzxcJQQ01ewcQfymsidKPMXrqj_5nrtv63dZFJqYNCYk5hDFkzqa2ro5-hRxQYLv_LULXT3j4sTRwOCr19SidjNPLJl4CdbO2-d5IFeCWlUOSmMfS1FchDrhGXUkUuni-Ze7H0D35KsBiGd2Gq8sSTNMBE6SEg4ehgpMVPv6XVSsUTVaBK1xWPYeVMcbh8H9dJx154_i8LpjOX735i601hiubgRHzqbR25YUd93z1xst0h0vif4_8Jp4y2fZlYGkVQwIVRVaq9Z-_nk_eLBOd6Iz6W3LZH8npfhIiHIE32-PefM4AVhdlxONGKsqcqE22GcFPT0mIgHQmHFmhjXh4.5_vtt-bUTSePELPBd00XP_hkhbio9gr5TUTYD5HkjY4&amp;dib_tag=se&amp;keywords=PLA%2Bblack%2Band%2Bwhite&amp;qid=1741802744&amp;s=industrial&amp;sprefix=pla%2Bblack%2Band%2Bwhite%2Cindustrial%2C95&amp;sr=1-4&amp;th=1</t>
  </si>
  <si>
    <t>3D printing material used for lightweight housings and custom mounts throughout the robot prototype to allow iterative design, it's likely I'll need lots of PLA due to continous prints, and like mentioned, fixes.</t>
  </si>
  <si>
    <t>https://www.digikey.ca/short/0zvnp1rd</t>
  </si>
  <si>
    <t>JLCPCB [view quote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</si>
</sst>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5" x14ac:knownFonts="1">
    <font>
      <sz val="11"/>
      <color theme="1"/>
      <name val="Aptos Narrow"/>
      <family val="2"/>
      <scheme val="minor"/>
    </font>
    <font>
      <b/>
      <sz val="15"/>
      <color theme="3"/>
      <name val="Aptos Narrow"/>
      <family val="2"/>
      <scheme val="minor"/>
    </font>
    <font>
      <u/>
      <sz val="11"/>
      <color theme="10"/>
      <name val="Aptos Narrow"/>
      <family val="2"/>
      <scheme val="minor"/>
    </font>
    <font>
      <b/>
      <sz val="13"/>
      <color theme="3"/>
      <name val="Aptos Narrow"/>
      <family val="2"/>
      <scheme val="minor"/>
    </font>
    <font>
      <sz val="8"/>
      <name val="Aptos Narrow"/>
      <family val="2"/>
      <scheme val="minor"/>
    </font>
  </fonts>
  <fills count="3">
    <fill>
      <patternFill patternType="none"/>
    </fill>
    <fill>
      <patternFill patternType="gray125"/>
    </fill>
    <fill>
      <patternFill patternType="solid">
        <fgColor theme="4" tint="0.79998168889431442"/>
        <bgColor indexed="65"/>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4">
    <xf numFmtId="0" fontId="0" fillId="0" borderId="0"/>
    <xf numFmtId="0" fontId="1" fillId="0" borderId="1" applyNumberFormat="0" applyFill="0" applyAlignment="0" applyProtection="0"/>
    <xf numFmtId="0" fontId="2" fillId="0" borderId="0" applyNumberFormat="0" applyFill="0" applyBorder="0" applyAlignment="0" applyProtection="0"/>
    <xf numFmtId="0" fontId="3" fillId="0" borderId="2" applyNumberFormat="0" applyFill="0" applyAlignment="0" applyProtection="0"/>
  </cellStyleXfs>
  <cellXfs count="9">
    <xf numFmtId="0" fontId="0" fillId="0" borderId="0" xfId="0"/>
    <xf numFmtId="0" fontId="1" fillId="2" borderId="0" xfId="1" applyFill="1" applyBorder="1" applyAlignment="1">
      <alignment horizontal="center"/>
    </xf>
    <xf numFmtId="0" fontId="3" fillId="0" borderId="2" xfId="3"/>
    <xf numFmtId="0" fontId="2" fillId="0" borderId="0" xfId="2"/>
    <xf numFmtId="8" fontId="0" fillId="0" borderId="0" xfId="0" applyNumberFormat="1"/>
    <xf numFmtId="6" fontId="0" fillId="0" borderId="0" xfId="0" applyNumberFormat="1"/>
    <xf numFmtId="0" fontId="0" fillId="0" borderId="0" xfId="0" applyAlignment="1">
      <alignment wrapText="1"/>
    </xf>
    <xf numFmtId="0" fontId="3" fillId="0" borderId="2" xfId="3" applyAlignment="1">
      <alignment wrapText="1"/>
    </xf>
    <xf numFmtId="8" fontId="3" fillId="0" borderId="2" xfId="3" applyNumberFormat="1"/>
  </cellXfs>
  <cellStyles count="4">
    <cellStyle name="Heading 1" xfId="1" builtinId="16"/>
    <cellStyle name="Heading 2" xfId="3" builtinId="17"/>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22887</xdr:colOff>
      <xdr:row>8</xdr:row>
      <xdr:rowOff>325335</xdr:rowOff>
    </xdr:from>
    <xdr:to>
      <xdr:col>20</xdr:col>
      <xdr:colOff>45576</xdr:colOff>
      <xdr:row>16</xdr:row>
      <xdr:rowOff>226440</xdr:rowOff>
    </xdr:to>
    <xdr:pic>
      <xdr:nvPicPr>
        <xdr:cNvPr id="5" name="Picture 4">
          <a:extLst>
            <a:ext uri="{FF2B5EF4-FFF2-40B4-BE49-F238E27FC236}">
              <a16:creationId xmlns:a16="http://schemas.microsoft.com/office/drawing/2014/main" id="{E6FF1952-ABB6-BC18-7D1A-48DB9DE8B662}"/>
            </a:ext>
          </a:extLst>
        </xdr:cNvPr>
        <xdr:cNvPicPr>
          <a:picLocks noChangeAspect="1"/>
        </xdr:cNvPicPr>
      </xdr:nvPicPr>
      <xdr:blipFill>
        <a:blip xmlns:r="http://schemas.openxmlformats.org/officeDocument/2006/relationships" r:embed="rId1"/>
        <a:stretch>
          <a:fillRect/>
        </a:stretch>
      </xdr:blipFill>
      <xdr:spPr>
        <a:xfrm>
          <a:off x="14922708" y="4434692"/>
          <a:ext cx="6758225" cy="3751927"/>
        </a:xfrm>
        <a:prstGeom prst="rect">
          <a:avLst/>
        </a:prstGeom>
      </xdr:spPr>
    </xdr:pic>
    <xdr:clientData/>
  </xdr:twoCellAnchor>
  <xdr:twoCellAnchor>
    <xdr:from>
      <xdr:col>9</xdr:col>
      <xdr:colOff>100487</xdr:colOff>
      <xdr:row>2</xdr:row>
      <xdr:rowOff>247475</xdr:rowOff>
    </xdr:from>
    <xdr:to>
      <xdr:col>18</xdr:col>
      <xdr:colOff>345513</xdr:colOff>
      <xdr:row>8</xdr:row>
      <xdr:rowOff>256381</xdr:rowOff>
    </xdr:to>
    <xdr:pic>
      <xdr:nvPicPr>
        <xdr:cNvPr id="6" name="Picture 5">
          <a:extLst>
            <a:ext uri="{FF2B5EF4-FFF2-40B4-BE49-F238E27FC236}">
              <a16:creationId xmlns:a16="http://schemas.microsoft.com/office/drawing/2014/main" id="{2052A685-CEED-FE37-4C12-24046AB0CB5E}"/>
            </a:ext>
          </a:extLst>
        </xdr:cNvPr>
        <xdr:cNvPicPr>
          <a:picLocks noChangeAspect="1"/>
        </xdr:cNvPicPr>
      </xdr:nvPicPr>
      <xdr:blipFill>
        <a:blip xmlns:r="http://schemas.openxmlformats.org/officeDocument/2006/relationships" r:embed="rId2"/>
        <a:stretch>
          <a:fillRect/>
        </a:stretch>
      </xdr:blipFill>
      <xdr:spPr>
        <a:xfrm>
          <a:off x="15004311" y="718122"/>
          <a:ext cx="5691084" cy="36396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mazon.ca/ELEGOO-Filament-Dimensional-Accuracy-Cardboard/dp/B0C8J1JZMT/ref=sr_1_4?crid=2OVSICG040W0U&amp;dib=eyJ2IjoiMSJ9.X5f0H5HytsVRWJLqLwwin6DzxcJQQ01ewcQfymsidKPMXrqj_5nrtv63dZFJqYNCYk5hDFkzqa2ro5-hRxQYLv_LULXT3j4sTRwOCr19SidjNPLJl4CdbO2-d5IFeCWlUOSmMfS1FchDrhGXUkUuni-Ze7H0D35KsBiGd2Gq8sSTNMBE6SEg4ehgpMVPv6XVSsUTVaBK1xWPYeVMcbh8H9dJx154_i8LpjOX735i601hiubgRHzqbR25YUd93z1xst0h0vif4_8Jp4y2fZlYGkVQwIVRVaq9Z-_nk_eLBOd6Iz6W3LZH8npfhIiHIE32-PefM4AVhdlxONGKsqcqE22GcFPT0mIgHQmHFmhjXh4.5_vtt-bUTSePELPBd00XP_hkhbio9gr5TUTYD5HkjY4&amp;dib_tag=se&amp;keywords=PLA%2Bblack%2Band%2Bwhite&amp;qid=1741802744&amp;s=industrial&amp;sprefix=pla%2Bblack%2Band%2Bwhite%2Cindustrial%2C95&amp;sr=1-4&amp;th=1" TargetMode="External"/><Relationship Id="rId13" Type="http://schemas.openxmlformats.org/officeDocument/2006/relationships/printerSettings" Target="../printerSettings/printerSettings1.bin"/><Relationship Id="rId3" Type="http://schemas.openxmlformats.org/officeDocument/2006/relationships/hyperlink" Target="https://www.gobilda.com/8mm-round-servo-shaft-25-tooth-spline-36mm-length/?srsltid=AfmBOoppTsDPK5TAdGEWVtdA1bXoH8x3ckvVXmJyh6e4P2LmL53MeBU7&amp;utm_source=chatgpt.com" TargetMode="External"/><Relationship Id="rId7" Type="http://schemas.openxmlformats.org/officeDocument/2006/relationships/hyperlink" Target="https://store.orbbec.com/products/gemini-335?fx_sid=4e26c903-bc0e-4df4-8e1a-c9ecd9c30cc1&amp;fx_uid=8c0f2309-1f7c-441d-af87-0edf41cb8467&amp;fx_s=google&amp;fx_m=organic&amp;fx_ch=seo_organic&amp;fx_sc=google_organic" TargetMode="External"/><Relationship Id="rId12" Type="http://schemas.openxmlformats.org/officeDocument/2006/relationships/hyperlink" Target="https://www.digikey.ca/short/0zvnp1rd" TargetMode="External"/><Relationship Id="rId2" Type="http://schemas.openxmlformats.org/officeDocument/2006/relationships/hyperlink" Target="https://www.feetechrc.com/en/12v-30kg-metal-shell-metal-tooth-iron-core-motor-magnetic-coding-double-shaft-ttl-series-steering-gear.html" TargetMode="External"/><Relationship Id="rId1" Type="http://schemas.openxmlformats.org/officeDocument/2006/relationships/hyperlink" Target="https://www.feetechrc.com/en/562636.html" TargetMode="External"/><Relationship Id="rId6" Type="http://schemas.openxmlformats.org/officeDocument/2006/relationships/hyperlink" Target="https://www.amazon.ca/NVIDIA-Jetson-Orin-Nano-Developer/dp/B0BZJTQ5YP/ref=sr_1_5?dib=eyJ2IjoiMSJ9.oBPmo8N1125w9UZ8-xtxgBB0vzdg_OFiDKOJUmUak3KsGol2xTi80fCYUWqHlOGe2kAe8ESSo6BWqINztXDYxQeYiaTolbh4JB0c7Y3jwzqBn2JFR0HiK1FyJ5kyFpPhXSp1aJv5xMC--j8b-fNhdLSSJwvjbd0XY8EXhorkOxJFMnOfcD0O0oLoypf_Fx_o_Mmr-y09hK1oqRhDgOKDMI8MH5wdi7HBtWLImeM1blm4-70toRIjqXFsuk1DjbODSwJutIPBQJ3qrJjQuqE5pt5imxUwUY1I2YieMJwjEhU.iMrYs9zK_mCJTvqh5PRE7PjCeBtP2gORpf3H3tjRj9Q&amp;dib_tag=se&amp;keywords=jetson+orin+nano+dev+kit&amp;qid=1759703130&amp;sr=8-5" TargetMode="External"/><Relationship Id="rId11" Type="http://schemas.openxmlformats.org/officeDocument/2006/relationships/hyperlink" Target="https://www.amazon.ca/Loctite-21448-Strength-Retaining-Compound/dp/B000O01EV0" TargetMode="External"/><Relationship Id="rId5" Type="http://schemas.openxmlformats.org/officeDocument/2006/relationships/hyperlink" Target="https://www.amazon.ca/Timing-Pulley-Synchronous-Belts%EF%BC%8C-32Teeth/dp/B09J4DCGLL?th=1" TargetMode="External"/><Relationship Id="rId10" Type="http://schemas.openxmlformats.org/officeDocument/2006/relationships/hyperlink" Target="https://www.amazon.ca/Samsung-990-EVO-Plus-Intelligent/dp/B0DHLFWBQ1/ref=sr_1_2_sspa?crid=XO1MTTNTSUXI&amp;dib=eyJ2IjoiMSJ9.IKNwFGrZgXepCF9eNz5VtJVkM031ESgIVf0DwigauNkaH3V5jj2UmkoWD9hB40pbjXjdjxZuWNMZVLvXJfDf7-7ufCzqv86d3OxadmAOj8x_QK9wKvugGl1QZqDf7qNZVyiBNf31dtGU161W62sG_0YPvK5F-Th_KSi5txg2bg7bdPDhmxzwAJ6blCnT0iPR6kGZMacSit9qoUbFnHrWCvAKJBb9WWwAr9FKG-6c6kWDc8jw0oaxJ7N_yv6NOH33lf81vGM84gReHwEnbXp-OW1Uk6KDn0L_Y4WqfwvH1GU.T20YOPUQYxPOvw4JGEgwsTewNnVOzqiyNFyDQi2sGkc&amp;dib_tag=se&amp;keywords=ssd%2Bsamsung%2B990%2Bevo&amp;qid=1741802569&amp;sprefix=ssd%2Bsamsung%2B99%2Bevo%2Caps%2C88&amp;sr=8-2-spons&amp;sp_csd=d2lkZ2V0TmFtZT1zcF9hdGY&amp;th=1" TargetMode="External"/><Relationship Id="rId4" Type="http://schemas.openxmlformats.org/officeDocument/2006/relationships/hyperlink" Target="https://www.amazon.ca/Timing-Pulley-Teeth-Synchronous-20Teeth/dp/B0F4HWRB9Y?th=1" TargetMode="External"/><Relationship Id="rId9" Type="http://schemas.openxmlformats.org/officeDocument/2006/relationships/hyperlink" Target="https://www.amazon.ca/DXF-Battery-Hardcase-Airplane-Helicopter/dp/B09TDFVWHS/ref=sr_1_1?dib=eyJ2IjoiMSJ9.riuler2SJ2K370oVwQohtNzuSRoCNMr3AgKZDJKD89us8ngrWmuQdQl3ogluOg-ASMoJJ5PtQqXOHwWlzm9_BE894ZhAyBr1AwkwDSZmq8nsztUxRCW0BnSoIvykL-n9mWcwi0aQil2N_n5nMjHOHitjtOPNVAtV5IuiqRomjIccON42_1kX-URmIfOZaNwR8EbgpVzZsoStStY6ZJFoaAjrDcNI1TfKhpov36r8A6D5UW7KrFyGNrIV8tdYtGV00BkjCZVLSAL0vL5SR4PBucaMePTvVA3bQu5wYEkgSmw.j3O6RipRm9qIgwoU96EFSCHXXnMJBjUAicPNW96VEQA&amp;dib_tag=se&amp;keywords=3S+8400+mah&amp;qid=1756610025&amp;sr=8-1" TargetMode="External"/><Relationship Id="rId1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34E87-AA20-4FF1-AECF-F7AF79D019A8}">
  <dimension ref="A1:G30"/>
  <sheetViews>
    <sheetView tabSelected="1" zoomScale="70" zoomScaleNormal="70" workbookViewId="0">
      <selection activeCell="H20" sqref="H20"/>
    </sheetView>
  </sheetViews>
  <sheetFormatPr defaultRowHeight="15" x14ac:dyDescent="0.25"/>
  <cols>
    <col min="1" max="1" width="29" customWidth="1"/>
    <col min="2" max="2" width="36.140625" customWidth="1"/>
    <col min="3" max="3" width="44.42578125" customWidth="1"/>
    <col min="4" max="4" width="39.7109375" customWidth="1"/>
    <col min="5" max="5" width="19.85546875" customWidth="1"/>
    <col min="6" max="6" width="21.42578125" customWidth="1"/>
    <col min="7" max="7" width="15.7109375" customWidth="1"/>
    <col min="8" max="8" width="8" customWidth="1"/>
  </cols>
  <sheetData>
    <row r="1" spans="1:7" ht="19.5" x14ac:dyDescent="0.3">
      <c r="A1" s="1" t="s">
        <v>0</v>
      </c>
      <c r="B1" s="1" t="s">
        <v>36</v>
      </c>
      <c r="C1" s="1" t="s">
        <v>1</v>
      </c>
      <c r="D1" s="1" t="s">
        <v>2</v>
      </c>
      <c r="E1" s="1" t="s">
        <v>3</v>
      </c>
      <c r="F1" s="1" t="s">
        <v>4</v>
      </c>
      <c r="G1" s="1" t="s">
        <v>5</v>
      </c>
    </row>
    <row r="2" spans="1:7" ht="18" thickBot="1" x14ac:dyDescent="0.35">
      <c r="A2" s="2" t="s">
        <v>11</v>
      </c>
      <c r="B2" s="2"/>
      <c r="C2" s="2"/>
      <c r="D2" s="2"/>
      <c r="E2" s="2"/>
      <c r="F2" s="2"/>
      <c r="G2" s="8">
        <f>SUM(F3:F38)</f>
        <v>3262.9540999999995</v>
      </c>
    </row>
    <row r="3" spans="1:7" ht="60.75" thickTop="1" x14ac:dyDescent="0.25">
      <c r="A3" t="s">
        <v>12</v>
      </c>
      <c r="B3" s="3" t="s">
        <v>14</v>
      </c>
      <c r="C3" s="6" t="s">
        <v>40</v>
      </c>
      <c r="D3">
        <v>14</v>
      </c>
      <c r="E3" s="4">
        <v>65.81</v>
      </c>
      <c r="F3" s="4">
        <f t="shared" ref="F3:F10" si="0">(D3*E3)*1.13</f>
        <v>1041.1142</v>
      </c>
    </row>
    <row r="4" spans="1:7" ht="60" x14ac:dyDescent="0.25">
      <c r="A4" t="s">
        <v>13</v>
      </c>
      <c r="B4" s="3" t="s">
        <v>15</v>
      </c>
      <c r="C4" s="6" t="s">
        <v>41</v>
      </c>
      <c r="D4">
        <v>6</v>
      </c>
      <c r="E4" s="4">
        <v>57.86</v>
      </c>
      <c r="F4" s="4">
        <f t="shared" si="0"/>
        <v>392.29079999999993</v>
      </c>
    </row>
    <row r="5" spans="1:7" ht="60" x14ac:dyDescent="0.25">
      <c r="A5" t="s">
        <v>16</v>
      </c>
      <c r="B5" s="3" t="s">
        <v>17</v>
      </c>
      <c r="C5" s="6" t="s">
        <v>42</v>
      </c>
      <c r="D5">
        <v>6</v>
      </c>
      <c r="E5" s="4">
        <v>9.99</v>
      </c>
      <c r="F5" s="4">
        <f t="shared" si="0"/>
        <v>67.732199999999992</v>
      </c>
    </row>
    <row r="6" spans="1:7" ht="30" x14ac:dyDescent="0.25">
      <c r="A6" t="s">
        <v>18</v>
      </c>
      <c r="B6" s="3" t="s">
        <v>19</v>
      </c>
      <c r="C6" s="6" t="s">
        <v>43</v>
      </c>
      <c r="D6">
        <v>8</v>
      </c>
      <c r="E6" s="4">
        <v>18.579999999999998</v>
      </c>
      <c r="F6" s="4">
        <f t="shared" si="0"/>
        <v>167.96319999999997</v>
      </c>
    </row>
    <row r="7" spans="1:7" ht="30" x14ac:dyDescent="0.25">
      <c r="A7" t="s">
        <v>20</v>
      </c>
      <c r="B7" s="3" t="s">
        <v>21</v>
      </c>
      <c r="C7" s="6" t="s">
        <v>44</v>
      </c>
      <c r="D7">
        <v>4</v>
      </c>
      <c r="E7" s="4">
        <v>24.02</v>
      </c>
      <c r="F7" s="4">
        <f t="shared" si="0"/>
        <v>108.57039999999999</v>
      </c>
    </row>
    <row r="8" spans="1:7" ht="45" x14ac:dyDescent="0.25">
      <c r="A8" t="s">
        <v>22</v>
      </c>
      <c r="B8" t="s">
        <v>23</v>
      </c>
      <c r="C8" s="6" t="s">
        <v>45</v>
      </c>
      <c r="D8">
        <v>1</v>
      </c>
      <c r="E8" s="4">
        <v>11.69</v>
      </c>
      <c r="F8" s="4">
        <f t="shared" si="0"/>
        <v>13.209699999999998</v>
      </c>
    </row>
    <row r="9" spans="1:7" ht="45" x14ac:dyDescent="0.25">
      <c r="A9" t="s">
        <v>24</v>
      </c>
      <c r="B9" t="s">
        <v>25</v>
      </c>
      <c r="C9" s="6" t="s">
        <v>46</v>
      </c>
      <c r="D9">
        <v>1</v>
      </c>
      <c r="E9" s="4">
        <v>15.89</v>
      </c>
      <c r="F9" s="4">
        <f t="shared" si="0"/>
        <v>17.9557</v>
      </c>
    </row>
    <row r="10" spans="1:7" ht="45" x14ac:dyDescent="0.25">
      <c r="A10" t="s">
        <v>26</v>
      </c>
      <c r="B10" t="s">
        <v>27</v>
      </c>
      <c r="C10" s="6" t="s">
        <v>47</v>
      </c>
      <c r="D10">
        <v>1</v>
      </c>
      <c r="E10" s="4">
        <v>16.29</v>
      </c>
      <c r="F10" s="4">
        <f t="shared" si="0"/>
        <v>18.407699999999998</v>
      </c>
    </row>
    <row r="11" spans="1:7" ht="45" x14ac:dyDescent="0.25">
      <c r="A11" t="s">
        <v>29</v>
      </c>
      <c r="B11" t="s">
        <v>28</v>
      </c>
      <c r="C11" s="6" t="s">
        <v>48</v>
      </c>
      <c r="F11">
        <f t="shared" ref="F11:F20" si="1">(D11*E11)*1.13</f>
        <v>0</v>
      </c>
    </row>
    <row r="12" spans="1:7" ht="75" x14ac:dyDescent="0.25">
      <c r="A12" t="s">
        <v>8</v>
      </c>
      <c r="B12" t="s">
        <v>57</v>
      </c>
      <c r="C12" s="6" t="s">
        <v>58</v>
      </c>
      <c r="D12">
        <v>2</v>
      </c>
      <c r="E12" s="4">
        <v>44.99</v>
      </c>
      <c r="F12" s="4">
        <f>(D12*E12)*1.13</f>
        <v>101.67739999999999</v>
      </c>
    </row>
    <row r="13" spans="1:7" ht="45" x14ac:dyDescent="0.25">
      <c r="A13" t="s">
        <v>34</v>
      </c>
      <c r="B13" s="3" t="s">
        <v>35</v>
      </c>
      <c r="C13" s="6" t="s">
        <v>49</v>
      </c>
      <c r="D13">
        <v>1</v>
      </c>
      <c r="E13" s="5">
        <v>24</v>
      </c>
      <c r="F13" s="4">
        <f>(D13*E13)*1.13</f>
        <v>27.119999999999997</v>
      </c>
    </row>
    <row r="14" spans="1:7" x14ac:dyDescent="0.25">
      <c r="C14" s="6"/>
    </row>
    <row r="15" spans="1:7" x14ac:dyDescent="0.25">
      <c r="C15" s="6"/>
    </row>
    <row r="16" spans="1:7" ht="18" thickBot="1" x14ac:dyDescent="0.35">
      <c r="A16" s="2" t="s">
        <v>30</v>
      </c>
      <c r="B16" s="2"/>
      <c r="C16" s="7"/>
      <c r="D16" s="2"/>
      <c r="E16" s="2"/>
      <c r="F16" s="2">
        <f t="shared" si="1"/>
        <v>0</v>
      </c>
    </row>
    <row r="17" spans="1:6" ht="45.75" thickTop="1" x14ac:dyDescent="0.25">
      <c r="A17" t="s">
        <v>9</v>
      </c>
      <c r="B17" s="3" t="s">
        <v>10</v>
      </c>
      <c r="C17" s="6" t="s">
        <v>50</v>
      </c>
      <c r="D17">
        <v>1</v>
      </c>
      <c r="E17" s="4">
        <v>99.99</v>
      </c>
      <c r="F17" s="4">
        <f>(D17*E17)*1.13</f>
        <v>112.98869999999998</v>
      </c>
    </row>
    <row r="18" spans="1:6" ht="45" x14ac:dyDescent="0.25">
      <c r="A18" t="s">
        <v>37</v>
      </c>
      <c r="B18" t="s">
        <v>60</v>
      </c>
      <c r="C18" s="6" t="s">
        <v>51</v>
      </c>
      <c r="D18">
        <v>1</v>
      </c>
      <c r="E18" s="4">
        <v>126.91</v>
      </c>
      <c r="F18" s="4">
        <f>(D18*E18)*1.13</f>
        <v>143.40829999999997</v>
      </c>
    </row>
    <row r="19" spans="1:6" x14ac:dyDescent="0.25">
      <c r="A19" t="s">
        <v>55</v>
      </c>
      <c r="B19" s="3" t="s">
        <v>59</v>
      </c>
      <c r="C19" s="6" t="s">
        <v>56</v>
      </c>
      <c r="D19">
        <v>1</v>
      </c>
      <c r="E19" s="5">
        <v>183</v>
      </c>
      <c r="F19" s="4">
        <f>(D19*E19)*1.13</f>
        <v>206.79</v>
      </c>
    </row>
    <row r="20" spans="1:6" x14ac:dyDescent="0.25">
      <c r="C20" s="6"/>
      <c r="F20">
        <f t="shared" si="1"/>
        <v>0</v>
      </c>
    </row>
    <row r="21" spans="1:6" x14ac:dyDescent="0.25">
      <c r="C21" s="6"/>
    </row>
    <row r="22" spans="1:6" ht="18" thickBot="1" x14ac:dyDescent="0.35">
      <c r="A22" s="2" t="s">
        <v>31</v>
      </c>
      <c r="B22" s="2"/>
      <c r="C22" s="7"/>
      <c r="D22" s="2"/>
      <c r="E22" s="2"/>
      <c r="F22" s="2"/>
    </row>
    <row r="23" spans="1:6" ht="45.75" thickTop="1" x14ac:dyDescent="0.25">
      <c r="A23" t="s">
        <v>6</v>
      </c>
      <c r="B23" s="3" t="s">
        <v>38</v>
      </c>
      <c r="C23" s="6" t="s">
        <v>52</v>
      </c>
      <c r="D23">
        <v>1</v>
      </c>
      <c r="E23" s="4">
        <v>344.95</v>
      </c>
      <c r="F23" s="4">
        <f>(D23*E23)*1.13</f>
        <v>389.79349999999994</v>
      </c>
    </row>
    <row r="24" spans="1:6" ht="45" x14ac:dyDescent="0.25">
      <c r="A24" t="s">
        <v>7</v>
      </c>
      <c r="B24" s="3" t="s">
        <v>39</v>
      </c>
      <c r="C24" s="6" t="s">
        <v>53</v>
      </c>
      <c r="D24">
        <v>1</v>
      </c>
      <c r="E24" s="5">
        <v>368.72</v>
      </c>
      <c r="F24" s="4">
        <f>(D24*E24)*1.13</f>
        <v>416.65359999999998</v>
      </c>
    </row>
    <row r="25" spans="1:6" ht="45" x14ac:dyDescent="0.25">
      <c r="A25" t="s">
        <v>32</v>
      </c>
      <c r="B25" t="s">
        <v>33</v>
      </c>
      <c r="C25" s="6" t="s">
        <v>54</v>
      </c>
      <c r="D25">
        <v>1</v>
      </c>
      <c r="E25" s="4">
        <v>32.99</v>
      </c>
      <c r="F25" s="4">
        <f>(D25*E25)*1.13</f>
        <v>37.278700000000001</v>
      </c>
    </row>
    <row r="30" spans="1:6" ht="12" customHeight="1" x14ac:dyDescent="0.25"/>
  </sheetData>
  <phoneticPr fontId="4" type="noConversion"/>
  <hyperlinks>
    <hyperlink ref="B3" r:id="rId1" xr:uid="{ABAF853C-7614-4C43-8D02-3509970FF289}"/>
    <hyperlink ref="B4" r:id="rId2" xr:uid="{81C68F65-402F-485A-8246-28C1ED3C194F}"/>
    <hyperlink ref="B5" r:id="rId3" xr:uid="{568D074D-A623-41D8-A536-15D5A113AF52}"/>
    <hyperlink ref="B6" r:id="rId4" xr:uid="{EA5A77F4-2F86-45F3-921B-1787D591C387}"/>
    <hyperlink ref="B7" r:id="rId5" xr:uid="{19624655-E07A-4420-BF5C-4E78116603B4}"/>
    <hyperlink ref="B23" r:id="rId6" display="https://www.amazon.ca/NVIDIA-Jetson-Orin-Nano-Developer/dp/B0BZJTQ5YP/ref=sr_1_5?dib=eyJ2IjoiMSJ9.oBPmo8N1125w9UZ8-xtxgBB0vzdg_OFiDKOJUmUak3KsGol2xTi80fCYUWqHlOGe2kAe8ESSo6BWqINztXDYxQeYiaTolbh4JB0c7Y3jwzqBn2JFR0HiK1FyJ5kyFpPhXSp1aJv5xMC--j8b-fNhdLSSJwvjbd0XY8EXhorkOxJFMnOfcD0O0oLoypf_Fx_o_Mmr-y09hK1oqRhDgOKDMI8MH5wdi7HBtWLImeM1blm4-70toRIjqXFsuk1DjbODSwJutIPBQJ3qrJjQuqE5pt5imxUwUY1I2YieMJwjEhU.iMrYs9zK_mCJTvqh5PRE7PjCeBtP2gORpf3H3tjRj9Q&amp;dib_tag=se&amp;keywords=jetson+orin+nano+dev+kit&amp;qid=1759703130&amp;sr=8-5" xr:uid="{1292E30F-6024-4A1A-B37C-1DA10F1BD571}"/>
    <hyperlink ref="B24" r:id="rId7" xr:uid="{570B946F-A3F9-46CD-89E7-C74FEE892AE5}"/>
    <hyperlink ref="B12" r:id="rId8" display="Amazon" xr:uid="{41208C38-E731-44F2-BEE2-61FCB8EB62DA}"/>
    <hyperlink ref="B17" r:id="rId9" display="https://www.amazon.ca/DXF-Battery-Hardcase-Airplane-Helicopter/dp/B09TDFVWHS/ref=sr_1_1?dib=eyJ2IjoiMSJ9.riuler2SJ2K370oVwQohtNzuSRoCNMr3AgKZDJKD89us8ngrWmuQdQl3ogluOg-ASMoJJ5PtQqXOHwWlzm9_BE894ZhAyBr1AwkwDSZmq8nsztUxRCW0BnSoIvykL-n9mWcwi0aQil2N_n5nMjHOHitjtOPNVAtV5IuiqRomjIccON42_1kX-URmIfOZaNwR8EbgpVzZsoStStY6ZJFoaAjrDcNI1TfKhpov36r8A6D5UW7KrFyGNrIV8tdYtGV00BkjCZVLSAL0vL5SR4PBucaMePTvVA3bQu5wYEkgSmw.j3O6RipRm9qIgwoU96EFSCHXXnMJBjUAicPNW96VEQA&amp;dib_tag=se&amp;keywords=3S+8400+mah&amp;qid=1756610025&amp;sr=8-1" xr:uid="{19E65730-6900-417B-BAE6-CAB9289FD747}"/>
    <hyperlink ref="B25" r:id="rId10" display="Amazon" xr:uid="{CDAFC55C-E851-401E-BBCF-1C6A02C64874}"/>
    <hyperlink ref="B13" r:id="rId11" xr:uid="{3112BEC5-0070-4734-A13C-033FA815C0C8}"/>
    <hyperlink ref="B19" r:id="rId12" xr:uid="{E652C524-982E-4015-931D-A51BB57A61B0}"/>
  </hyperlinks>
  <pageMargins left="0.7" right="0.7" top="0.75" bottom="0.75" header="0.3" footer="0.3"/>
  <pageSetup paperSize="3" orientation="portrait" horizontalDpi="300" verticalDpi="300" r:id="rId13"/>
  <drawing r:id="rId1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FBE23F23D6C404CAD5DE15B10DA803A" ma:contentTypeVersion="10" ma:contentTypeDescription="Create a new document." ma:contentTypeScope="" ma:versionID="173af77996ad3160ba67f97a1dc9a0a1">
  <xsd:schema xmlns:xsd="http://www.w3.org/2001/XMLSchema" xmlns:xs="http://www.w3.org/2001/XMLSchema" xmlns:p="http://schemas.microsoft.com/office/2006/metadata/properties" xmlns:ns3="73decd86-39a4-49eb-910d-a9d7478bb842" targetNamespace="http://schemas.microsoft.com/office/2006/metadata/properties" ma:root="true" ma:fieldsID="ac7655f4c6b06e1f724061c6ed122ee0" ns3:_="">
    <xsd:import namespace="73decd86-39a4-49eb-910d-a9d7478bb842"/>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SearchProperties" minOccurs="0"/>
                <xsd:element ref="ns3:MediaServiceDateTaken"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decd86-39a4-49eb-910d-a9d7478bb8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73decd86-39a4-49eb-910d-a9d7478bb842" xsi:nil="true"/>
  </documentManagement>
</p:properties>
</file>

<file path=customXml/itemProps1.xml><?xml version="1.0" encoding="utf-8"?>
<ds:datastoreItem xmlns:ds="http://schemas.openxmlformats.org/officeDocument/2006/customXml" ds:itemID="{0C9EC6FB-1CF2-4FAD-B830-F4943A84763F}">
  <ds:schemaRefs>
    <ds:schemaRef ds:uri="http://schemas.microsoft.com/sharepoint/v3/contenttype/forms"/>
  </ds:schemaRefs>
</ds:datastoreItem>
</file>

<file path=customXml/itemProps2.xml><?xml version="1.0" encoding="utf-8"?>
<ds:datastoreItem xmlns:ds="http://schemas.openxmlformats.org/officeDocument/2006/customXml" ds:itemID="{1E58C759-CD66-46BE-BFED-9AE0DBCB86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decd86-39a4-49eb-910d-a9d7478bb84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4BBE388-63B8-4E8B-9309-4F27288A6A4A}">
  <ds:schemaRefs>
    <ds:schemaRef ds:uri="http://schemas.microsoft.com/office/2006/metadata/properties"/>
    <ds:schemaRef ds:uri="http://purl.org/dc/terms/"/>
    <ds:schemaRef ds:uri="http://purl.org/dc/dcmitype/"/>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73decd86-39a4-49eb-910d-a9d7478bb842"/>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Robot_BOM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Bryan William Heddle</dc:creator>
  <cp:keywords/>
  <dc:description/>
  <cp:lastModifiedBy>Bryan William Heddle</cp:lastModifiedBy>
  <cp:revision/>
  <cp:lastPrinted>2025-10-06T15:26:44Z</cp:lastPrinted>
  <dcterms:created xsi:type="dcterms:W3CDTF">2025-03-12T17:29:58Z</dcterms:created>
  <dcterms:modified xsi:type="dcterms:W3CDTF">2025-10-06T15:27:35Z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0x0101000FBE23F23D6C404CAD5DE15B10DA803A</vt:lpwstr>
  </property>
</Properties>
</file>